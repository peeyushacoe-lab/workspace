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heets" sheetId="2" state="visible" r:id="rId2"/>
    <sheet xmlns:r="http://schemas.openxmlformats.org/officeDocument/2006/relationships" name="Slides" sheetId="3" state="visible" r:id="rId3"/>
    <sheet xmlns:r="http://schemas.openxmlformats.org/officeDocument/2006/relationships" name="Docs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Drive" sheetId="6" state="visible" r:id="rId6"/>
    <sheet xmlns:r="http://schemas.openxmlformats.org/officeDocument/2006/relationships" name="Navig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color rgb="00202124"/>
      <sz val="10"/>
    </font>
    <font>
      <name val="Arial"/>
      <b val="1"/>
      <color rgb="00ffffff"/>
      <sz val="10"/>
    </font>
    <font>
      <name val="Arial"/>
      <sz val="9"/>
    </font>
    <font>
      <name val="Arial"/>
      <color rgb="005f6368"/>
      <sz val="9"/>
    </font>
  </fonts>
  <fills count="8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e6f4ea"/>
      </patternFill>
    </fill>
    <fill>
      <patternFill patternType="solid">
        <fgColor rgb="00fce8e6"/>
      </patternFill>
    </fill>
    <fill>
      <patternFill patternType="solid">
        <fgColor rgb="00f1f3f4"/>
      </patternFill>
    </fill>
    <fill>
      <patternFill patternType="solid">
        <fgColor rgb="001a56db"/>
      </patternFill>
    </fill>
    <fill>
      <patternFill patternType="solid">
        <fgColor rgb="00fef9e0"/>
      </patternFill>
    </fill>
  </fills>
  <borders count="2">
    <border>
      <left/>
      <right/>
      <top/>
      <bottom/>
      <diagonal/>
    </border>
    <border>
      <left style="thin">
        <color rgb="00E8EAED"/>
      </left>
      <right style="thin">
        <color rgb="00E8EAED"/>
      </right>
      <top style="thin">
        <color rgb="00E8EAED"/>
      </top>
      <bottom style="thin">
        <color rgb="00E8EAE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2124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</cols>
  <sheetData>
    <row r="1" ht="28" customHeight="1">
      <c r="A1" s="1" t="inlineStr">
        <is>
          <t>Nexus QA Checklist — Summary</t>
        </is>
      </c>
    </row>
    <row r="2" ht="20" customHeight="1">
      <c r="A2" s="2" t="inlineStr">
        <is>
          <t>App</t>
        </is>
      </c>
      <c r="B2" s="3">
        <f>COUNTIF(Docs!E:E,"Pass")+COUNTIF(Sheets!E:E,"Pass")+COUNTIF(Slides!E:E,"Pass")+COUNTIF(Notes!E:E,"Pass")+COUNTIF(Drive!E:E,"Pass")+COUNTIF(Navigation!E:E,"Pass")</f>
        <v/>
      </c>
      <c r="C2" s="4" t="inlineStr">
        <is>
          <t>Fail</t>
        </is>
      </c>
      <c r="D2" s="2" t="inlineStr">
        <is>
          <t>Total</t>
        </is>
      </c>
    </row>
    <row r="3">
      <c r="A3" s="5" t="inlineStr">
        <is>
          <t>Sheets</t>
        </is>
      </c>
      <c r="B3" s="6">
        <f>COUNTIF(Docs!E:E,"Fail")+COUNTIF(Sheets!E:E,"Fail")+COUNTIF(Slides!E:E,"Fail")+COUNTIF(Notes!E:E,"Fail")+COUNTIF(Drive!E:E,"Fail")+COUNTIF(Navigation!E:E,"Fail")</f>
        <v/>
      </c>
      <c r="C3" s="7">
        <f>COUNTIF(Sheets!E2:E300,"Fail")</f>
        <v/>
      </c>
      <c r="D3" s="8">
        <f>COUNTA(Sheets!A2:A300)</f>
        <v/>
      </c>
    </row>
    <row r="4">
      <c r="A4" s="5" t="inlineStr">
        <is>
          <t>Slides</t>
        </is>
      </c>
      <c r="B4" s="6">
        <f>COUNTIF(Slides!E2:E300,"Pass")</f>
        <v/>
      </c>
      <c r="C4" s="7">
        <f>COUNTIF(Slides!E2:E300,"Fail")</f>
        <v/>
      </c>
      <c r="D4" s="8">
        <f>COUNTA(Slides!A2:A300)</f>
        <v/>
      </c>
    </row>
    <row r="5">
      <c r="A5" s="5" t="inlineStr">
        <is>
          <t>Docs</t>
        </is>
      </c>
      <c r="B5" s="6">
        <f>COUNTIF(Docs!E2:E300,"Pass")</f>
        <v/>
      </c>
      <c r="C5" s="7">
        <f>COUNTIF(Docs!E2:E300,"Fail")</f>
        <v/>
      </c>
      <c r="D5" s="8">
        <f>COUNTA(Docs!A2:A300)</f>
        <v/>
      </c>
    </row>
    <row r="6">
      <c r="A6" s="5" t="inlineStr">
        <is>
          <t>Notes</t>
        </is>
      </c>
      <c r="B6" s="6">
        <f>COUNTIF(Notes!E2:E300,"Pass")</f>
        <v/>
      </c>
      <c r="C6" s="7">
        <f>COUNTIF(Notes!E2:E300,"Fail")</f>
        <v/>
      </c>
      <c r="D6" s="8">
        <f>COUNTA(Notes!A2:A300)</f>
        <v/>
      </c>
    </row>
    <row r="7">
      <c r="A7" s="5" t="inlineStr">
        <is>
          <t>Drive</t>
        </is>
      </c>
      <c r="B7" s="6">
        <f>COUNTIF(Drive!E2:E300,"Pass")</f>
        <v/>
      </c>
      <c r="C7" s="7">
        <f>COUNTIF(Drive!E2:E300,"Fail")</f>
        <v/>
      </c>
      <c r="D7" s="8">
        <f>COUNTA(Drive!A2:A300)</f>
        <v/>
      </c>
    </row>
    <row r="8">
      <c r="A8" s="5" t="inlineStr">
        <is>
          <t>Navigation</t>
        </is>
      </c>
      <c r="B8" s="6">
        <f>COUNTIF(Navigation!E2:E300,"Pass")</f>
        <v/>
      </c>
      <c r="C8" s="7">
        <f>COUNTIF(Navigation!E2:E300,"Fail")</f>
        <v/>
      </c>
      <c r="D8" s="8">
        <f>COUNTA(Navigation!A2:A300)</f>
        <v/>
      </c>
    </row>
    <row r="9">
      <c r="A9" s="5" t="inlineStr">
        <is>
          <t>TOTAL</t>
        </is>
      </c>
      <c r="B9">
        <f>SUM(B3:B8)</f>
        <v/>
      </c>
      <c r="C9">
        <f>SUM(C3:C8)</f>
        <v/>
      </c>
      <c r="D9">
        <f>SUM(D3:D8)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56db"/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Cell selection (single)</t>
        </is>
      </c>
      <c r="C2" s="12" t="inlineStr">
        <is>
          <t>Click any cell</t>
        </is>
      </c>
      <c r="D2" s="13" t="inlineStr">
        <is>
          <t>Cell highlighted with blue border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Cell editing</t>
        </is>
      </c>
      <c r="C3" s="12" t="inlineStr">
        <is>
          <t>Double-click or type to enter edit mode</t>
        </is>
      </c>
      <c r="D3" s="13" t="inlineStr">
        <is>
          <t>Input appears in cell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Formula bar</t>
        </is>
      </c>
      <c r="C4" s="12" t="inlineStr">
        <is>
          <t>Enter =SUM(A1:A3)</t>
        </is>
      </c>
      <c r="D4" s="13" t="inlineStr">
        <is>
          <t>Result computed and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Arrow key navigation</t>
        </is>
      </c>
      <c r="C5" s="12" t="inlineStr">
        <is>
          <t>Arrow keys move selection</t>
        </is>
      </c>
      <c r="D5" s="13" t="inlineStr">
        <is>
          <t>Selection moves correctly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Tab / Enter navigation</t>
        </is>
      </c>
      <c r="C6" s="12" t="inlineStr">
        <is>
          <t>Tab moves right, Enter moves down</t>
        </is>
      </c>
      <c r="D6" s="13" t="inlineStr">
        <is>
          <t>Correct navigation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Drag-to-select range</t>
        </is>
      </c>
      <c r="C7" s="12" t="inlineStr">
        <is>
          <t>Mouse-down on A1, drag to D5</t>
        </is>
      </c>
      <c r="D7" s="13" t="inlineStr">
        <is>
          <t>A1:D5 highlighted (FIXED)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Fill handle — copy</t>
        </is>
      </c>
      <c r="C8" s="12" t="inlineStr">
        <is>
          <t>Select 'hello', drag fill handle down</t>
        </is>
      </c>
      <c r="D8" s="13" t="inlineStr">
        <is>
          <t>hello copied to each cell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Fill handle — series</t>
        </is>
      </c>
      <c r="C9" s="12" t="inlineStr">
        <is>
          <t>Select 1,2,3,4 (multi-cell), drag down</t>
        </is>
      </c>
      <c r="D9" s="13" t="inlineStr">
        <is>
          <t>5,6,7,8... continues (FIXED)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Shift+click range</t>
        </is>
      </c>
      <c r="C10" s="12" t="inlineStr">
        <is>
          <t>Click A1, shift+click E10</t>
        </is>
      </c>
      <c r="D10" s="13" t="inlineStr">
        <is>
          <t>A1:E10 selected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Ctrl+C / Ctrl+V</t>
        </is>
      </c>
      <c r="C11" s="12" t="inlineStr">
        <is>
          <t>Copy range, paste elsewhere</t>
        </is>
      </c>
      <c r="D11" s="13" t="inlineStr">
        <is>
          <t>TSV paste works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Ctrl+X cut</t>
        </is>
      </c>
      <c r="C12" s="12" t="inlineStr">
        <is>
          <t>Cut range, paste elsewhere</t>
        </is>
      </c>
      <c r="D12" s="13" t="inlineStr">
        <is>
          <t>Source cleared, pasted elsewhere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Ctrl+B/I/U bold/italic/underline</t>
        </is>
      </c>
      <c r="C13" s="12" t="inlineStr">
        <is>
          <t>Select cell, press Ctrl+B</t>
        </is>
      </c>
      <c r="D13" s="13" t="inlineStr">
        <is>
          <t>Style applied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Undo / Redo</t>
        </is>
      </c>
      <c r="C14" s="12" t="inlineStr">
        <is>
          <t>Make changes, press Ctrl+Z/Ctrl+Y</t>
        </is>
      </c>
      <c r="D14" s="13" t="inlineStr">
        <is>
          <t>Changes undone/redone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Add sheet</t>
        </is>
      </c>
      <c r="C15" s="12" t="inlineStr">
        <is>
          <t>Click + tab</t>
        </is>
      </c>
      <c r="D15" s="13" t="inlineStr">
        <is>
          <t>New sheet created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Rename sheet</t>
        </is>
      </c>
      <c r="C16" s="12" t="inlineStr">
        <is>
          <t>Double-click tab</t>
        </is>
      </c>
      <c r="D16" s="13" t="inlineStr">
        <is>
          <t>Rename input appears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Named ranges</t>
        </is>
      </c>
      <c r="C17" s="12" t="inlineStr">
        <is>
          <t>Toolbar &gt; Named Ranges, define A1:B5=myRange, use in formula</t>
        </is>
      </c>
      <c r="D17" s="13">
        <f>SUM(myRange) evaluates</f>
        <v/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Data validation dropdown</t>
        </is>
      </c>
      <c r="C18" s="12" t="inlineStr">
        <is>
          <t>Set dropdown list for a cell</t>
        </is>
      </c>
      <c r="D18" s="13" t="inlineStr">
        <is>
          <t>▾ appears, only allowed values accepted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Conditional formatting</t>
        </is>
      </c>
      <c r="C19" s="12" t="inlineStr">
        <is>
          <t>Select range, add rule GT 50 → green fill</t>
        </is>
      </c>
      <c r="D19" s="13" t="inlineStr">
        <is>
          <t>Cells &gt; 50 turn green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Conditional formatting manage rules</t>
        </is>
      </c>
      <c r="C20" s="12" t="inlineStr">
        <is>
          <t>Open CF dialog, see existing rules, delete one</t>
        </is>
      </c>
      <c r="D20" s="13" t="inlineStr">
        <is>
          <t>Rule removed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F4 absolute ref</t>
        </is>
      </c>
      <c r="C21" s="12" t="inlineStr">
        <is>
          <t>Type =A1 in formula bar, press F4</t>
        </is>
      </c>
      <c r="D21" s="13" t="inlineStr">
        <is>
          <t>Cycles $A$1 → A$1 → $A1 → A1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Sort A→Z from right-click</t>
        </is>
      </c>
      <c r="C22" s="12" t="inlineStr">
        <is>
          <t>Right-click column, Sort A→Z</t>
        </is>
      </c>
      <c r="D22" s="13" t="inlineStr">
        <is>
          <t>Column sorted ascending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Filter</t>
        </is>
      </c>
      <c r="C23" s="12" t="inlineStr">
        <is>
          <t>Click Filter toolbar btn, filter a column</t>
        </is>
      </c>
      <c r="D23" s="13" t="inlineStr">
        <is>
          <t>Only matching rows shown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Freeze panes</t>
        </is>
      </c>
      <c r="C24" s="12" t="inlineStr">
        <is>
          <t>Freeze 2 rows — scroll down</t>
        </is>
      </c>
      <c r="D24" s="13" t="inlineStr">
        <is>
          <t>Rows 1-2 stay fixed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Merge cells</t>
        </is>
      </c>
      <c r="C25" s="12" t="inlineStr">
        <is>
          <t>Select A1:C1, right-click Merge</t>
        </is>
      </c>
      <c r="D25" s="13" t="inlineStr">
        <is>
          <t>Cells merged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Pivot table</t>
        </is>
      </c>
      <c r="C26" s="12" t="inlineStr">
        <is>
          <t>Insert &gt; Pivot on data range</t>
        </is>
      </c>
      <c r="D26" s="13" t="inlineStr">
        <is>
          <t>Pivot table rendered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Chart insert</t>
        </is>
      </c>
      <c r="C27" s="12" t="inlineStr">
        <is>
          <t>Select data, insert chart</t>
        </is>
      </c>
      <c r="D27" s="13" t="inlineStr">
        <is>
          <t>Chart rendered in sheet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Donut / radar / combo chart</t>
        </is>
      </c>
      <c r="C28" s="12" t="inlineStr">
        <is>
          <t>Change chart type</t>
        </is>
      </c>
      <c r="D28" s="13" t="inlineStr">
        <is>
          <t>Chart updates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Find &amp; Replace (Ctrl+H)</t>
        </is>
      </c>
      <c r="C29" s="12" t="inlineStr">
        <is>
          <t>Open F&amp;R, replace 'hello' with 'world'</t>
        </is>
      </c>
      <c r="D29" s="13" t="inlineStr">
        <is>
          <t>All instances replaced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Cell comments</t>
        </is>
      </c>
      <c r="C30" s="12" t="inlineStr">
        <is>
          <t>Insert note on a cell</t>
        </is>
      </c>
      <c r="D30" s="13" t="inlineStr">
        <is>
          <t>Amber triangle + popover on hover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Remove duplicates</t>
        </is>
      </c>
      <c r="C31" s="12" t="inlineStr">
        <is>
          <t>Run on column with dupes</t>
        </is>
      </c>
      <c r="D31" s="13" t="inlineStr">
        <is>
          <t>Duplicates removed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Text to columns</t>
        </is>
      </c>
      <c r="C32" s="12" t="inlineStr">
        <is>
          <t>Split 'a,b,c' on comma</t>
        </is>
      </c>
      <c r="D32" s="13" t="inlineStr">
        <is>
          <t>3 separate columns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Copy/paste format painter</t>
        </is>
      </c>
      <c r="C33" s="12" t="inlineStr">
        <is>
          <t>Arm painter, click target cell</t>
        </is>
      </c>
      <c r="D33" s="13" t="inlineStr">
        <is>
          <t>Target gets source formatting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Sparklines</t>
        </is>
      </c>
      <c r="C34" s="12" t="inlineStr">
        <is>
          <t>Right-click, Insert sparkline</t>
        </is>
      </c>
      <c r="D34" s="13" t="inlineStr">
        <is>
          <t>Inline mini-chart in cell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Spreadsheet templates</t>
        </is>
      </c>
      <c r="C35" s="12" t="inlineStr">
        <is>
          <t>LayoutGrid btn, pick Monthly Budget</t>
        </is>
      </c>
      <c r="D35" s="13" t="inlineStr">
        <is>
          <t>Template pre-populated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Number formats — $/%/1000</t>
        </is>
      </c>
      <c r="C36" s="12" t="inlineStr">
        <is>
          <t>Quick format buttons in toolbar</t>
        </is>
      </c>
      <c r="D36" s="13" t="inlineStr">
        <is>
          <t>Format applied to cell</t>
        </is>
      </c>
      <c r="E36" s="14" t="inlineStr">
        <is>
          <t>Not tested</t>
        </is>
      </c>
      <c r="F36" s="10" t="inlineStr"/>
    </row>
    <row r="37">
      <c r="A37" s="10" t="n">
        <v>36</v>
      </c>
      <c r="B37" s="11" t="inlineStr">
        <is>
          <t>IFERROR formula</t>
        </is>
      </c>
      <c r="C37" s="12">
        <f>IFERROR(1/0,"err")</f>
        <v/>
      </c>
      <c r="D37" s="13" t="inlineStr">
        <is>
          <t>Returns 'err' not #DIV/0!</t>
        </is>
      </c>
      <c r="E37" s="14" t="inlineStr">
        <is>
          <t>Not tested</t>
        </is>
      </c>
      <c r="F37" s="10" t="inlineStr"/>
    </row>
    <row r="38">
      <c r="A38" s="10" t="n">
        <v>37</v>
      </c>
      <c r="B38" s="11" t="inlineStr">
        <is>
          <t>TRIM / LEN / FIND</t>
        </is>
      </c>
      <c r="C38" s="12">
        <f>TRIM(' hi '), =LEN('abc'), =FIND('b','abc')</f>
        <v/>
      </c>
      <c r="D38" s="13" t="inlineStr">
        <is>
          <t>hi, 3, 2</t>
        </is>
      </c>
      <c r="E38" s="14" t="inlineStr">
        <is>
          <t>Not tested</t>
        </is>
      </c>
      <c r="F38" s="10" t="inlineStr"/>
    </row>
    <row r="39">
      <c r="A39" s="10" t="n">
        <v>38</v>
      </c>
      <c r="B39" s="11" t="inlineStr">
        <is>
          <t>TODAY() / YEAR()</t>
        </is>
      </c>
      <c r="C39" s="12">
        <f>TODAY() and =YEAR(TODAY())</f>
        <v/>
      </c>
      <c r="D39" s="13" t="inlineStr">
        <is>
          <t>Current date and year</t>
        </is>
      </c>
      <c r="E39" s="14" t="inlineStr">
        <is>
          <t>Not tested</t>
        </is>
      </c>
      <c r="F39" s="10" t="inlineStr"/>
    </row>
    <row r="40">
      <c r="A40" s="10" t="n">
        <v>39</v>
      </c>
      <c r="B40" s="11" t="inlineStr">
        <is>
          <t>Right-click context menu</t>
        </is>
      </c>
      <c r="C40" s="12" t="inlineStr">
        <is>
          <t>Right-click cell</t>
        </is>
      </c>
      <c r="D40" s="13" t="inlineStr">
        <is>
          <t>Menu: cut/copy/paste/insert row/col/etc</t>
        </is>
      </c>
      <c r="E40" s="14" t="inlineStr">
        <is>
          <t>Not tested</t>
        </is>
      </c>
      <c r="F40" s="10" t="inlineStr"/>
    </row>
    <row r="41">
      <c r="A41" s="10" t="n">
        <v>40</v>
      </c>
      <c r="B41" s="11" t="inlineStr">
        <is>
          <t>Sheet protection</t>
        </is>
      </c>
      <c r="C41" s="12" t="inlineStr">
        <is>
          <t>Right-click Protect sheet</t>
        </is>
      </c>
      <c r="D41" s="13" t="inlineStr">
        <is>
          <t>Cells locked from editing</t>
        </is>
      </c>
      <c r="E41" s="14" t="inlineStr">
        <is>
          <t>Not tested</t>
        </is>
      </c>
      <c r="F41" s="10" t="inlineStr"/>
    </row>
    <row r="42">
      <c r="A42" s="10" t="n">
        <v>41</v>
      </c>
      <c r="B42" s="11" t="inlineStr">
        <is>
          <t>Slide sorter view</t>
        </is>
      </c>
      <c r="C42" s="12" t="inlineStr">
        <is>
          <t>Sorter toggle btn</t>
        </is>
      </c>
      <c r="D42" s="13" t="inlineStr">
        <is>
          <t>All slides shown in grid</t>
        </is>
      </c>
      <c r="E42" s="14" t="inlineStr">
        <is>
          <t>Not tested</t>
        </is>
      </c>
      <c r="F42" s="10" t="inlineStr"/>
    </row>
    <row r="43">
      <c r="A43" s="10" t="n">
        <v>42</v>
      </c>
      <c r="B43" s="11" t="inlineStr">
        <is>
          <t>Slicers</t>
        </is>
      </c>
      <c r="C43" s="12" t="inlineStr">
        <is>
          <t>Right-click, Insert slicer</t>
        </is>
      </c>
      <c r="D43" s="13" t="inlineStr">
        <is>
          <t>Filter chips appear, click to filter</t>
        </is>
      </c>
      <c r="E43" s="14" t="inlineStr">
        <is>
          <t>Not tested</t>
        </is>
      </c>
      <c r="F43" s="10" t="inlineStr"/>
    </row>
    <row r="44">
      <c r="A44" s="10" t="n">
        <v>43</v>
      </c>
      <c r="B44" s="11" t="inlineStr">
        <is>
          <t>Pivot charts</t>
        </is>
      </c>
      <c r="C44" s="12" t="inlineStr">
        <is>
          <t>Toggle pivot to chart view</t>
        </is>
      </c>
      <c r="D44" s="13" t="inlineStr">
        <is>
          <t>BarChart rendered from pivot data</t>
        </is>
      </c>
      <c r="E44" s="14" t="inlineStr">
        <is>
          <t>Not tested</t>
        </is>
      </c>
      <c r="F44" s="10" t="inlineStr"/>
    </row>
    <row r="45">
      <c r="A45" t="inlineStr">
        <is>
          <t>Sheets</t>
        </is>
      </c>
      <c r="B45" t="inlineStr">
        <is>
          <t>Spill Formulas</t>
        </is>
      </c>
      <c r="C45">
        <f>SEQUENCE(5,3) spills 5x3 grid of numbers</f>
        <v/>
      </c>
      <c r="D45" t="inlineStr">
        <is>
          <t>Spill / array formulas</t>
        </is>
      </c>
      <c r="E45" t="inlineStr">
        <is>
          <t>—</t>
        </is>
      </c>
    </row>
    <row r="46">
      <c r="A46" t="inlineStr">
        <is>
          <t>Sheets</t>
        </is>
      </c>
      <c r="B46" t="inlineStr">
        <is>
          <t>Spill Formulas</t>
        </is>
      </c>
      <c r="C46">
        <f>FILTER(range, condition) returns matching rows</f>
        <v/>
      </c>
      <c r="D46" t="inlineStr">
        <is>
          <t>Spill / array formulas</t>
        </is>
      </c>
      <c r="E46" t="inlineStr">
        <is>
          <t>—</t>
        </is>
      </c>
    </row>
    <row r="47">
      <c r="A47" t="inlineStr">
        <is>
          <t>Sheets</t>
        </is>
      </c>
      <c r="B47" t="inlineStr">
        <is>
          <t>Spill Formulas</t>
        </is>
      </c>
      <c r="C47">
        <f>UNIQUE(range) deduplicates and spills results</f>
        <v/>
      </c>
      <c r="D47" t="inlineStr">
        <is>
          <t>Spill / array formulas</t>
        </is>
      </c>
      <c r="E47" t="inlineStr">
        <is>
          <t>—</t>
        </is>
      </c>
    </row>
    <row r="48">
      <c r="A48" t="inlineStr">
        <is>
          <t>Sheets</t>
        </is>
      </c>
      <c r="B48" t="inlineStr">
        <is>
          <t>Spill Formulas</t>
        </is>
      </c>
      <c r="C48">
        <f>SORT(range) returns sorted column/array</f>
        <v/>
      </c>
      <c r="D48" t="inlineStr">
        <is>
          <t>Spill / array formulas</t>
        </is>
      </c>
      <c r="E48" t="inlineStr">
        <is>
          <t>—</t>
        </is>
      </c>
    </row>
    <row r="49">
      <c r="A49" t="inlineStr">
        <is>
          <t>Sheets</t>
        </is>
      </c>
      <c r="B49" t="inlineStr">
        <is>
          <t>Spill Formulas</t>
        </is>
      </c>
      <c r="C49">
        <f>TRANSPOSE(range) flips rows/columns</f>
        <v/>
      </c>
      <c r="D49" t="inlineStr">
        <is>
          <t>Spill / array formulas</t>
        </is>
      </c>
      <c r="E49" t="inlineStr">
        <is>
          <t>—</t>
        </is>
      </c>
    </row>
    <row r="50">
      <c r="A50" t="inlineStr">
        <is>
          <t>Sheets</t>
        </is>
      </c>
      <c r="B50" t="inlineStr">
        <is>
          <t>Spill Formulas</t>
        </is>
      </c>
      <c r="C50" t="inlineStr">
        <is>
          <t>Spilled cells shown with light blue background</t>
        </is>
      </c>
      <c r="D50" t="inlineStr">
        <is>
          <t>Spill / array formulas</t>
        </is>
      </c>
      <c r="E50" t="inlineStr">
        <is>
          <t>—</t>
        </is>
      </c>
    </row>
    <row r="51">
      <c r="A51" t="inlineStr">
        <is>
          <t>Sheets</t>
        </is>
      </c>
      <c r="B51" t="inlineStr">
        <is>
          <t>Keyboard Shortcuts</t>
        </is>
      </c>
      <c r="C51" t="inlineStr">
        <is>
          <t>Ctrl/Cmd+B toggles bold on selected cell</t>
        </is>
      </c>
      <c r="D51" t="inlineStr">
        <is>
          <t>Keyboard shortcuts</t>
        </is>
      </c>
      <c r="E51" t="inlineStr">
        <is>
          <t>—</t>
        </is>
      </c>
    </row>
    <row r="52">
      <c r="A52" t="inlineStr">
        <is>
          <t>Sheets</t>
        </is>
      </c>
      <c r="B52" t="inlineStr">
        <is>
          <t>Keyboard Shortcuts</t>
        </is>
      </c>
      <c r="C52" t="inlineStr">
        <is>
          <t>Ctrl/Cmd+I toggles italic on selected cell</t>
        </is>
      </c>
      <c r="D52" t="inlineStr">
        <is>
          <t>Keyboard shortcuts</t>
        </is>
      </c>
      <c r="E52" t="inlineStr">
        <is>
          <t>—</t>
        </is>
      </c>
    </row>
    <row r="53">
      <c r="A53" t="inlineStr">
        <is>
          <t>Sheets</t>
        </is>
      </c>
      <c r="B53" t="inlineStr">
        <is>
          <t>Keyboard Shortcuts</t>
        </is>
      </c>
      <c r="C53" t="inlineStr">
        <is>
          <t>Ctrl/Cmd+U toggles underline on selected cell</t>
        </is>
      </c>
      <c r="D53" t="inlineStr">
        <is>
          <t>Keyboard shortcuts</t>
        </is>
      </c>
      <c r="E53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a56db"/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Add slide</t>
        </is>
      </c>
      <c r="C2" s="12" t="inlineStr">
        <is>
          <t>Click + New Slide</t>
        </is>
      </c>
      <c r="D2" s="13" t="inlineStr">
        <is>
          <t>Blank slide added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Add text box</t>
        </is>
      </c>
      <c r="C3" s="12" t="inlineStr">
        <is>
          <t>Click Text btn</t>
        </is>
      </c>
      <c r="D3" s="13" t="inlineStr">
        <is>
          <t>Text box appears on canvas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Edit text</t>
        </is>
      </c>
      <c r="C4" s="12" t="inlineStr">
        <is>
          <t>Double-click text element</t>
        </is>
      </c>
      <c r="D4" s="13" t="inlineStr">
        <is>
          <t>Inline text editing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Add shape</t>
        </is>
      </c>
      <c r="C5" s="12" t="inlineStr">
        <is>
          <t>Toolbar shape picker</t>
        </is>
      </c>
      <c r="D5" s="13" t="inlineStr">
        <is>
          <t>Shape rendered on canvas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Add image (upload)</t>
        </is>
      </c>
      <c r="C6" s="12" t="inlineStr">
        <is>
          <t>Image btn → pick file</t>
        </is>
      </c>
      <c r="D6" s="13" t="inlineStr">
        <is>
          <t>Image inserted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Resize element</t>
        </is>
      </c>
      <c r="C7" s="12" t="inlineStr">
        <is>
          <t>Drag corner handle</t>
        </is>
      </c>
      <c r="D7" s="13" t="inlineStr">
        <is>
          <t>Element resizes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Move element</t>
        </is>
      </c>
      <c r="C8" s="12" t="inlineStr">
        <is>
          <t>Drag element body</t>
        </is>
      </c>
      <c r="D8" s="13" t="inlineStr">
        <is>
          <t>Element moves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Delete element</t>
        </is>
      </c>
      <c r="C9" s="12" t="inlineStr">
        <is>
          <t>Select + Delete key</t>
        </is>
      </c>
      <c r="D9" s="13" t="inlineStr">
        <is>
          <t>Element removed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Entrance animation</t>
        </is>
      </c>
      <c r="C10" s="12" t="inlineStr">
        <is>
          <t>Select element, pick animation</t>
        </is>
      </c>
      <c r="D10" s="13" t="inlineStr">
        <is>
          <t>Animation plays in presenter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Slide transition</t>
        </is>
      </c>
      <c r="C11" s="12" t="inlineStr">
        <is>
          <t>Pick transition from dropdown</t>
        </is>
      </c>
      <c r="D11" s="13" t="inlineStr">
        <is>
          <t>Transition plays between slides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Present mode</t>
        </is>
      </c>
      <c r="C12" s="12" t="inlineStr">
        <is>
          <t>Click Present btn</t>
        </is>
      </c>
      <c r="D12" s="13" t="inlineStr">
        <is>
          <t>Full-screen presenter opens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Speaker notes — edit</t>
        </is>
      </c>
      <c r="C13" s="12" t="inlineStr">
        <is>
          <t>Type in notes area below canvas</t>
        </is>
      </c>
      <c r="D13" s="13" t="inlineStr">
        <is>
          <t>Notes saved with slide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Speaker notes — presenter</t>
        </is>
      </c>
      <c r="C14" s="12" t="inlineStr">
        <is>
          <t>In presenter, scroll down</t>
        </is>
      </c>
      <c r="D14" s="13" t="inlineStr">
        <is>
          <t>Notes panel visible below slide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Print/Export PDF</t>
        </is>
      </c>
      <c r="C15" s="12" t="inlineStr">
        <is>
          <t>Printer btn → Print</t>
        </is>
      </c>
      <c r="D15" s="13" t="inlineStr">
        <is>
          <t>Browser print dialog opens, slides laid out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Duplicate slide</t>
        </is>
      </c>
      <c r="C16" s="12" t="inlineStr">
        <is>
          <t>Right-click slide thumbnail</t>
        </is>
      </c>
      <c r="D16" s="13" t="inlineStr">
        <is>
          <t>Slide duplicated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Delete slide</t>
        </is>
      </c>
      <c r="C17" s="12" t="inlineStr">
        <is>
          <t>Right-click &gt; Delete</t>
        </is>
      </c>
      <c r="D17" s="13" t="inlineStr">
        <is>
          <t>Slide removed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Reorder slides (sorter)</t>
        </is>
      </c>
      <c r="C18" s="12" t="inlineStr">
        <is>
          <t>Open Sorter, drag slide</t>
        </is>
      </c>
      <c r="D18" s="13" t="inlineStr">
        <is>
          <t>Slide reordered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Hide slide</t>
        </is>
      </c>
      <c r="C19" s="12" t="inlineStr">
        <is>
          <t>Right-click &gt; Hide slide</t>
        </is>
      </c>
      <c r="D19" s="13" t="inlineStr">
        <is>
          <t>Slide greyed out, skipped in presenter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Slide sections</t>
        </is>
      </c>
      <c r="C20" s="12" t="inlineStr">
        <is>
          <t>Add section label</t>
        </is>
      </c>
      <c r="D20" s="13" t="inlineStr">
        <is>
          <t>Section header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Layout presets</t>
        </is>
      </c>
      <c r="C21" s="12" t="inlineStr">
        <is>
          <t>Layout picker in toolbar</t>
        </is>
      </c>
      <c r="D21" s="13" t="inlineStr">
        <is>
          <t>Slide layout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Align element on slide</t>
        </is>
      </c>
      <c r="C22" s="12" t="inlineStr">
        <is>
          <t>Align toolbar: center horizontal</t>
        </is>
      </c>
      <c r="D22" s="13" t="inlineStr">
        <is>
          <t>Element centers on slide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Lock element</t>
        </is>
      </c>
      <c r="C23" s="12" t="inlineStr">
        <is>
          <t>Lock btn on selected element</t>
        </is>
      </c>
      <c r="D23" s="13" t="inlineStr">
        <is>
          <t>Element can't be moved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Background to all slides</t>
        </is>
      </c>
      <c r="C24" s="12" t="inlineStr">
        <is>
          <t>Apply background to all btn</t>
        </is>
      </c>
      <c r="D24" s="13" t="inlineStr">
        <is>
          <t>All slides get same background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Slide master logo</t>
        </is>
      </c>
      <c r="C25" s="12" t="inlineStr">
        <is>
          <t>Upload logo in footer settings</t>
        </is>
      </c>
      <c r="D25" s="13" t="inlineStr">
        <is>
          <t>Logo appears top-right on all slides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Shapes: triangle/arrow/star</t>
        </is>
      </c>
      <c r="C26" s="12" t="inlineStr">
        <is>
          <t>Shape picker</t>
        </is>
      </c>
      <c r="D26" s="13" t="inlineStr">
        <is>
          <t>Custom clip-path shapes render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Snap to grid</t>
        </is>
      </c>
      <c r="C27" s="12" t="inlineStr">
        <is>
          <t>Move element near grid point</t>
        </is>
      </c>
      <c r="D27" s="13" t="inlineStr">
        <is>
          <t>Element snaps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Presenter timer</t>
        </is>
      </c>
      <c r="C28" s="12" t="inlineStr">
        <is>
          <t>Start presenter</t>
        </is>
      </c>
      <c r="D28" s="13" t="inlineStr">
        <is>
          <t>Timer counts up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Slide N of M</t>
        </is>
      </c>
      <c r="C29" s="12" t="inlineStr">
        <is>
          <t>In presenter</t>
        </is>
      </c>
      <c r="D29" s="13" t="inlineStr">
        <is>
          <t>'Slide 2 of 8' shown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Next-slide preview</t>
        </is>
      </c>
      <c r="C30" s="12" t="inlineStr">
        <is>
          <t>In presenter</t>
        </is>
      </c>
      <c r="D30" s="13" t="inlineStr">
        <is>
          <t>Next slide thumbnail shown in panel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Find &amp; replace (Ctrl+F)</t>
        </is>
      </c>
      <c r="C31" s="12" t="inlineStr">
        <is>
          <t>Open search across slides</t>
        </is>
      </c>
      <c r="D31" s="13" t="inlineStr">
        <is>
          <t>All matching text found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Slide number footer toggle</t>
        </is>
      </c>
      <c r="C32" s="12" t="inlineStr">
        <is>
          <t>Enable slide numbers in settings</t>
        </is>
      </c>
      <c r="D32" s="13" t="inlineStr">
        <is>
          <t>Number appears on each slide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Embed video</t>
        </is>
      </c>
      <c r="C33" s="12" t="inlineStr">
        <is>
          <t>Insert video URL</t>
        </is>
      </c>
      <c r="D33" s="13" t="inlineStr">
        <is>
          <t>YouTube/Vimeo iframe embedded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SmartArt</t>
        </is>
      </c>
      <c r="C34" s="12" t="inlineStr">
        <is>
          <t>Insert SmartArt, pick List</t>
        </is>
      </c>
      <c r="D34" s="13" t="inlineStr">
        <is>
          <t>Visual SmartArt element rendered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Gradient fill on shape</t>
        </is>
      </c>
      <c r="C35" s="12" t="inlineStr">
        <is>
          <t>Shape fill &gt; gradient</t>
        </is>
      </c>
      <c r="D35" s="13" t="inlineStr">
        <is>
          <t>Gradient applied to shape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Audio element</t>
        </is>
      </c>
      <c r="C36" s="12" t="inlineStr">
        <is>
          <t>Insert audio</t>
        </is>
      </c>
      <c r="D36" s="13" t="inlineStr">
        <is>
          <t>Audio player rendered on slide</t>
        </is>
      </c>
      <c r="E36" s="14" t="inlineStr">
        <is>
          <t>Not tested</t>
        </is>
      </c>
      <c r="F36" s="10" t="inlineStr"/>
    </row>
    <row r="37">
      <c r="A37" t="inlineStr">
        <is>
          <t>Slides</t>
        </is>
      </c>
      <c r="B37" t="inlineStr">
        <is>
          <t>Keyboard Shortcuts</t>
        </is>
      </c>
      <c r="C37" t="inlineStr">
        <is>
          <t>Ctrl/Cmd+B toggles bold on selected text element</t>
        </is>
      </c>
      <c r="D37" t="inlineStr">
        <is>
          <t>Keyboard shortcuts</t>
        </is>
      </c>
      <c r="E37" t="inlineStr">
        <is>
          <t>—</t>
        </is>
      </c>
    </row>
    <row r="38">
      <c r="A38" t="inlineStr">
        <is>
          <t>Slides</t>
        </is>
      </c>
      <c r="B38" t="inlineStr">
        <is>
          <t>Keyboard Shortcuts</t>
        </is>
      </c>
      <c r="C38" t="inlineStr">
        <is>
          <t>Ctrl/Cmd+I toggles italic on selected text element</t>
        </is>
      </c>
      <c r="D38" t="inlineStr">
        <is>
          <t>Keyboard shortcuts</t>
        </is>
      </c>
      <c r="E38" t="inlineStr">
        <is>
          <t>—</t>
        </is>
      </c>
    </row>
    <row r="39">
      <c r="A39" t="inlineStr">
        <is>
          <t>Slides</t>
        </is>
      </c>
      <c r="B39" t="inlineStr">
        <is>
          <t>Keyboard Shortcuts</t>
        </is>
      </c>
      <c r="C39" t="inlineStr">
        <is>
          <t>Ctrl/Cmd+U toggles underline on selected text element</t>
        </is>
      </c>
      <c r="D39" t="inlineStr">
        <is>
          <t>Keyboard shortcuts</t>
        </is>
      </c>
      <c r="E39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56db"/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new doc</t>
        </is>
      </c>
      <c r="C2" s="12" t="inlineStr">
        <is>
          <t>Click New Document</t>
        </is>
      </c>
      <c r="D2" s="13" t="inlineStr">
        <is>
          <t>Blank Tiptap editor opens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and save</t>
        </is>
      </c>
      <c r="C3" s="12" t="inlineStr">
        <is>
          <t>Type text, wait 2s</t>
        </is>
      </c>
      <c r="D3" s="13" t="inlineStr">
        <is>
          <t>Auto-saved (title appears in list)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Bold / Italic / Underline</t>
        </is>
      </c>
      <c r="C4" s="12" t="inlineStr">
        <is>
          <t>Select text, Ctrl+B/I/U</t>
        </is>
      </c>
      <c r="D4" s="13" t="inlineStr">
        <is>
          <t>Formatting applied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Font family picker</t>
        </is>
      </c>
      <c r="C5" s="12" t="inlineStr">
        <is>
          <t>Change font from toolbar</t>
        </is>
      </c>
      <c r="D5" s="13" t="inlineStr">
        <is>
          <t>Font applied to selected text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Font size picker</t>
        </is>
      </c>
      <c r="C6" s="12" t="inlineStr">
        <is>
          <t>Change size</t>
        </is>
      </c>
      <c r="D6" s="13" t="inlineStr">
        <is>
          <t>Size applied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Text color</t>
        </is>
      </c>
      <c r="C7" s="12" t="inlineStr">
        <is>
          <t>Pick color from toolbar</t>
        </is>
      </c>
      <c r="D7" s="13" t="inlineStr">
        <is>
          <t>Color applied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Highlight</t>
        </is>
      </c>
      <c r="C8" s="12" t="inlineStr">
        <is>
          <t>Pick highlight color</t>
        </is>
      </c>
      <c r="D8" s="13" t="inlineStr">
        <is>
          <t>Background highlight applied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Superscript / Subscript</t>
        </is>
      </c>
      <c r="C9" s="12" t="inlineStr">
        <is>
          <t>Toolbar btns</t>
        </is>
      </c>
      <c r="D9" s="13" t="inlineStr">
        <is>
          <t>Super/subscript applied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Heading styles</t>
        </is>
      </c>
      <c r="C10" s="12" t="inlineStr">
        <is>
          <t>H1/H2/H3 picker</t>
        </is>
      </c>
      <c r="D10" s="13" t="inlineStr">
        <is>
          <t>Heading applied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Bullet list</t>
        </is>
      </c>
      <c r="C11" s="12" t="inlineStr">
        <is>
          <t>Bullet btn</t>
        </is>
      </c>
      <c r="D11" s="13" t="inlineStr">
        <is>
          <t>List created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Numbered list</t>
        </is>
      </c>
      <c r="C12" s="12" t="inlineStr">
        <is>
          <t>Number btn</t>
        </is>
      </c>
      <c r="D12" s="13" t="inlineStr">
        <is>
          <t>Ordered list created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Checklist</t>
        </is>
      </c>
      <c r="C13" s="12" t="inlineStr">
        <is>
          <t>Checklist btn</t>
        </is>
      </c>
      <c r="D13" s="13" t="inlineStr">
        <is>
          <t>Interactive checklist rendered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Table insert</t>
        </is>
      </c>
      <c r="C14" s="12" t="inlineStr">
        <is>
          <t>Table btn</t>
        </is>
      </c>
      <c r="D14" s="13" t="inlineStr">
        <is>
          <t>Table inserted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Image insert (upload)</t>
        </is>
      </c>
      <c r="C15" s="12" t="inlineStr">
        <is>
          <t>Image btn → pick file</t>
        </is>
      </c>
      <c r="D15" s="13" t="inlineStr">
        <is>
          <t>Image embedded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Code block</t>
        </is>
      </c>
      <c r="C16" s="12" t="inlineStr">
        <is>
          <t>Code btn</t>
        </is>
      </c>
      <c r="D16" s="13" t="inlineStr">
        <is>
          <t>Monospaced code block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Blockquote</t>
        </is>
      </c>
      <c r="C17" s="12" t="inlineStr">
        <is>
          <t>Quote btn</t>
        </is>
      </c>
      <c r="D17" s="13" t="inlineStr">
        <is>
          <t>Blockquote styled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Alignment</t>
        </is>
      </c>
      <c r="C18" s="12" t="inlineStr">
        <is>
          <t>Left/center/right btn</t>
        </is>
      </c>
      <c r="D18" s="13" t="inlineStr">
        <is>
          <t>Paragraph aligned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Line spacing</t>
        </is>
      </c>
      <c r="C19" s="12" t="inlineStr">
        <is>
          <t>Line spacing picker</t>
        </is>
      </c>
      <c r="D19" s="13" t="inlineStr">
        <is>
          <t>Spacing applied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Symbols picker</t>
        </is>
      </c>
      <c r="C20" s="12" t="inlineStr">
        <is>
          <t>Symbols btn</t>
        </is>
      </c>
      <c r="D20" s="13" t="inlineStr">
        <is>
          <t>Symbol inserted at cursor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TOC insert</t>
        </is>
      </c>
      <c r="C21" s="12" t="inlineStr">
        <is>
          <t>TOC btn</t>
        </is>
      </c>
      <c r="D21" s="13" t="inlineStr">
        <is>
          <t>Table of contents generated from headings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Footnote</t>
        </is>
      </c>
      <c r="C22" s="12" t="inlineStr">
        <is>
          <t>Insert footnote</t>
        </is>
      </c>
      <c r="D22" s="13" t="inlineStr">
        <is>
          <t>Superscript [1] at cursor, footnote at bottom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Page setup</t>
        </is>
      </c>
      <c r="C23" s="12" t="inlineStr">
        <is>
          <t>Page setup btn</t>
        </is>
      </c>
      <c r="D23" s="13" t="inlineStr">
        <is>
          <t>Size/orientation/margin applied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Header/footer</t>
        </is>
      </c>
      <c r="C24" s="12" t="inlineStr">
        <is>
          <t>Header btn</t>
        </is>
      </c>
      <c r="D24" s="13" t="inlineStr">
        <is>
          <t>Header text appears on page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Page numbers</t>
        </is>
      </c>
      <c r="C25" s="12" t="inlineStr">
        <is>
          <t>Enable in header/footer</t>
        </is>
      </c>
      <c r="D25" s="13" t="inlineStr">
        <is>
          <t>Page numbers rendered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Word count panel</t>
        </is>
      </c>
      <c r="C26" s="12" t="inlineStr">
        <is>
          <t>Stats btn</t>
        </is>
      </c>
      <c r="D26" s="13" t="inlineStr">
        <is>
          <t>Words/chars/reading time shown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Version history — auto</t>
        </is>
      </c>
      <c r="C27" s="12" t="inlineStr">
        <is>
          <t>Wait 5 min or force by modifying doc</t>
        </is>
      </c>
      <c r="D27" s="13" t="inlineStr">
        <is>
          <t>Version saved to localStorage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Version history — view</t>
        </is>
      </c>
      <c r="C28" s="12" t="inlineStr">
        <is>
          <t>Clock btn</t>
        </is>
      </c>
      <c r="D28" s="13" t="inlineStr">
        <is>
          <t>History panel opens with timestamps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Version history — restore</t>
        </is>
      </c>
      <c r="C29" s="12" t="inlineStr">
        <is>
          <t>Click Restore on a version</t>
        </is>
      </c>
      <c r="D29" s="13" t="inlineStr">
        <is>
          <t>Editor content reverted to that version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Version history — manual save</t>
        </is>
      </c>
      <c r="C30" s="12" t="inlineStr">
        <is>
          <t>Save version btn</t>
        </is>
      </c>
      <c r="D30" s="13" t="inlineStr">
        <is>
          <t>Snapshot immediately saved with label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Offline draft cache</t>
        </is>
      </c>
      <c r="C31" s="12" t="inlineStr">
        <is>
          <t>Disconnect network, edit doc</t>
        </is>
      </c>
      <c r="D31" s="13" t="inlineStr">
        <is>
          <t>Amber offline indicator; changes cached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Doc templates</t>
        </is>
      </c>
      <c r="C32" s="12" t="inlineStr">
        <is>
          <t>New Doc &gt; template picker</t>
        </is>
      </c>
      <c r="D32" s="13" t="inlineStr">
        <is>
          <t>Resume/Cover Letter/Meeting Notes etc.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Share doc</t>
        </is>
      </c>
      <c r="C33" s="12" t="inlineStr">
        <is>
          <t>Share btn (if available)</t>
        </is>
      </c>
      <c r="D33" s="13" t="inlineStr">
        <is>
          <t>Share dialog opens</t>
        </is>
      </c>
      <c r="E33" s="14" t="inlineStr">
        <is>
          <t>Not tested</t>
        </is>
      </c>
      <c r="F33" s="10" t="inlineStr"/>
    </row>
    <row r="34">
      <c r="A34" t="inlineStr">
        <is>
          <t>Docs</t>
        </is>
      </c>
      <c r="B34" t="inlineStr">
        <is>
          <t>Track Changes</t>
        </is>
      </c>
      <c r="C34" t="inlineStr">
        <is>
          <t>Enable suggesting mode via 'Suggest' button in toolbar</t>
        </is>
      </c>
      <c r="D34" t="inlineStr">
        <is>
          <t>Track changes / suggest mode</t>
        </is>
      </c>
      <c r="E34" t="inlineStr">
        <is>
          <t>—</t>
        </is>
      </c>
    </row>
    <row r="35">
      <c r="A35" t="inlineStr">
        <is>
          <t>Docs</t>
        </is>
      </c>
      <c r="B35" t="inlineStr">
        <is>
          <t>Track Changes</t>
        </is>
      </c>
      <c r="C35" t="inlineStr">
        <is>
          <t>Type text in suggesting mode — appears green underlined</t>
        </is>
      </c>
      <c r="D35" t="inlineStr">
        <is>
          <t>Track changes / suggest mode</t>
        </is>
      </c>
      <c r="E35" t="inlineStr">
        <is>
          <t>—</t>
        </is>
      </c>
    </row>
    <row r="36">
      <c r="A36" t="inlineStr">
        <is>
          <t>Docs</t>
        </is>
      </c>
      <c r="B36" t="inlineStr">
        <is>
          <t>Track Changes</t>
        </is>
      </c>
      <c r="C36" t="inlineStr">
        <is>
          <t>Delete text in suggesting mode — text stays with red strikethrough</t>
        </is>
      </c>
      <c r="D36" t="inlineStr">
        <is>
          <t>Track changes / suggest mode</t>
        </is>
      </c>
      <c r="E36" t="inlineStr">
        <is>
          <t>—</t>
        </is>
      </c>
    </row>
    <row r="37">
      <c r="A37" t="inlineStr">
        <is>
          <t>Docs</t>
        </is>
      </c>
      <c r="B37" t="inlineStr">
        <is>
          <t>Track Changes</t>
        </is>
      </c>
      <c r="C37" t="inlineStr">
        <is>
          <t>Suggestions panel shows list of insertions and deletions</t>
        </is>
      </c>
      <c r="D37" t="inlineStr">
        <is>
          <t>Track changes / suggest mode</t>
        </is>
      </c>
      <c r="E37" t="inlineStr">
        <is>
          <t>—</t>
        </is>
      </c>
    </row>
    <row r="38">
      <c r="A38" t="inlineStr">
        <is>
          <t>Docs</t>
        </is>
      </c>
      <c r="B38" t="inlineStr">
        <is>
          <t>Track Changes</t>
        </is>
      </c>
      <c r="C38" t="inlineStr">
        <is>
          <t>Accept individual suggestion — insertion keeps, deletion removes</t>
        </is>
      </c>
      <c r="D38" t="inlineStr">
        <is>
          <t>Track changes / suggest mode</t>
        </is>
      </c>
      <c r="E38" t="inlineStr">
        <is>
          <t>—</t>
        </is>
      </c>
    </row>
    <row r="39">
      <c r="A39" t="inlineStr">
        <is>
          <t>Docs</t>
        </is>
      </c>
      <c r="B39" t="inlineStr">
        <is>
          <t>Track Changes</t>
        </is>
      </c>
      <c r="C39" t="inlineStr">
        <is>
          <t>Reject individual suggestion — insertion removes, deletion keeps</t>
        </is>
      </c>
      <c r="D39" t="inlineStr">
        <is>
          <t>Track changes / suggest mode</t>
        </is>
      </c>
      <c r="E39" t="inlineStr">
        <is>
          <t>—</t>
        </is>
      </c>
    </row>
    <row r="40">
      <c r="A40" t="inlineStr">
        <is>
          <t>Docs</t>
        </is>
      </c>
      <c r="B40" t="inlineStr">
        <is>
          <t>Track Changes</t>
        </is>
      </c>
      <c r="C40" t="inlineStr">
        <is>
          <t>Accept all suggestions clears all tracked marks</t>
        </is>
      </c>
      <c r="D40" t="inlineStr">
        <is>
          <t>Track changes / suggest mode</t>
        </is>
      </c>
      <c r="E40" t="inlineStr">
        <is>
          <t>—</t>
        </is>
      </c>
    </row>
    <row r="41">
      <c r="A41" t="inlineStr">
        <is>
          <t>Docs</t>
        </is>
      </c>
      <c r="B41" t="inlineStr">
        <is>
          <t>Track Changes</t>
        </is>
      </c>
      <c r="C41" t="inlineStr">
        <is>
          <t>Reject all suggestions reverts all pending changes</t>
        </is>
      </c>
      <c r="D41" t="inlineStr">
        <is>
          <t>Track changes / suggest mode</t>
        </is>
      </c>
      <c r="E41" t="inlineStr">
        <is>
          <t>—</t>
        </is>
      </c>
    </row>
    <row r="42">
      <c r="A42" t="inlineStr">
        <is>
          <t>Docs</t>
        </is>
      </c>
      <c r="B42" t="inlineStr">
        <is>
          <t>Track Changes</t>
        </is>
      </c>
      <c r="C42" t="inlineStr">
        <is>
          <t>Toggling suggest mode off exits suggesting but keeps marks pending</t>
        </is>
      </c>
      <c r="D42" t="inlineStr">
        <is>
          <t>Track changes / suggest mode</t>
        </is>
      </c>
      <c r="E42" t="inlineStr">
        <is>
          <t>—</t>
        </is>
      </c>
    </row>
    <row r="43">
      <c r="A43" t="inlineStr">
        <is>
          <t>Docs</t>
        </is>
      </c>
      <c r="B43" t="inlineStr">
        <is>
          <t>Track Changes</t>
        </is>
      </c>
      <c r="C43" t="inlineStr">
        <is>
          <t>Suggesting mode banner visible in suggestions panel</t>
        </is>
      </c>
      <c r="D43" t="inlineStr">
        <is>
          <t>Track changes / suggest mode</t>
        </is>
      </c>
      <c r="E43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56db"/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note</t>
        </is>
      </c>
      <c r="C2" s="12" t="inlineStr">
        <is>
          <t>Click New Note</t>
        </is>
      </c>
      <c r="D2" s="13" t="inlineStr">
        <is>
          <t>Blank note created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&amp; auto-save</t>
        </is>
      </c>
      <c r="C3" s="12" t="inlineStr">
        <is>
          <t>Type in editor</t>
        </is>
      </c>
      <c r="D3" s="13" t="inlineStr">
        <is>
          <t>Note auto-saves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Pin note</t>
        </is>
      </c>
      <c r="C4" s="12" t="inlineStr">
        <is>
          <t>Pin icon on note card</t>
        </is>
      </c>
      <c r="D4" s="13" t="inlineStr">
        <is>
          <t>Note moves to Pinned section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Color note</t>
        </is>
      </c>
      <c r="C5" s="12" t="inlineStr">
        <is>
          <t>Palette icon</t>
        </is>
      </c>
      <c r="D5" s="13" t="inlineStr">
        <is>
          <t>Note card color changes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Delete note</t>
        </is>
      </c>
      <c r="C6" s="12" t="inlineStr">
        <is>
          <t>Delete btn</t>
        </is>
      </c>
      <c r="D6" s="13" t="inlineStr">
        <is>
          <t>Note removed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notes</t>
        </is>
      </c>
      <c r="C7" s="12" t="inlineStr">
        <is>
          <t>Search bar</t>
        </is>
      </c>
      <c r="D7" s="13" t="inlineStr">
        <is>
          <t>Filtered note list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Folder filter</t>
        </is>
      </c>
      <c r="C8" s="12" t="inlineStr">
        <is>
          <t>Click folder in sidebar</t>
        </is>
      </c>
      <c r="D8" s="13" t="inlineStr">
        <is>
          <t>Only notes in that folder shown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Note tags — add</t>
        </is>
      </c>
      <c r="C9" s="12" t="inlineStr">
        <is>
          <t>Type tag in tag input, press Enter</t>
        </is>
      </c>
      <c r="D9" s="13" t="inlineStr">
        <is>
          <t>Tag chip appears on note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Note tags — remove</t>
        </is>
      </c>
      <c r="C10" s="12" t="inlineStr">
        <is>
          <t>Click × on tag chip</t>
        </is>
      </c>
      <c r="D10" s="13" t="inlineStr">
        <is>
          <t>Tag removed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Note tags — filter by tag</t>
        </is>
      </c>
      <c r="C11" s="12" t="inlineStr">
        <is>
          <t>Click tag in sidebar Tags section</t>
        </is>
      </c>
      <c r="D11" s="13" t="inlineStr">
        <is>
          <t>Only tagged notes shown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Tag chip in note list</t>
        </is>
      </c>
      <c r="C12" s="12" t="inlineStr">
        <is>
          <t>Note with tags in list view</t>
        </is>
      </c>
      <c r="D12" s="13" t="inlineStr">
        <is>
          <t>First 2 tags shown as chips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Note templates</t>
        </is>
      </c>
      <c r="C13" s="12" t="inlineStr">
        <is>
          <t>Template picker on new note</t>
        </is>
      </c>
      <c r="D13" s="13" t="inlineStr">
        <is>
          <t>Meeting/To-do/Journal pre-filled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Voice note</t>
        </is>
      </c>
      <c r="C14" s="12" t="inlineStr">
        <is>
          <t>Record btn → speak → stop</t>
        </is>
      </c>
      <c r="D14" s="13" t="inlineStr">
        <is>
          <t>Audio player inserted in note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File attachment</t>
        </is>
      </c>
      <c r="C15" s="12" t="inlineStr">
        <is>
          <t>Attachment btn → pick file</t>
        </is>
      </c>
      <c r="D15" s="13" t="inlineStr">
        <is>
          <t>File chip shown in note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Archive note</t>
        </is>
      </c>
      <c r="C16" s="12" t="inlineStr">
        <is>
          <t>Archive btn</t>
        </is>
      </c>
      <c r="D16" s="13" t="inlineStr">
        <is>
          <t>Note moved to Archive folder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Restore archived</t>
        </is>
      </c>
      <c r="C17" s="12" t="inlineStr">
        <is>
          <t>Restore btn in Archive</t>
        </is>
      </c>
      <c r="D17" s="13" t="inlineStr">
        <is>
          <t>Note back in All Notes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Reminder</t>
        </is>
      </c>
      <c r="C18" s="12" t="inlineStr">
        <is>
          <t>Bell btn, pick time</t>
        </is>
      </c>
      <c r="D18" s="13" t="inlineStr">
        <is>
          <t>Toast fires at reminder time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Offline draft cache</t>
        </is>
      </c>
      <c r="C19" s="12" t="inlineStr">
        <is>
          <t>Edit offline</t>
        </is>
      </c>
      <c r="D19" s="13" t="inlineStr">
        <is>
          <t>Amber WifiOff indicator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Word count</t>
        </is>
      </c>
      <c r="C20" s="12" t="inlineStr">
        <is>
          <t>Bottom of editor</t>
        </is>
      </c>
      <c r="D20" s="13" t="inlineStr">
        <is>
          <t>Word count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Rich text — bold/italic</t>
        </is>
      </c>
      <c r="C21" s="12" t="inlineStr">
        <is>
          <t>Toolbar formatting btns</t>
        </is>
      </c>
      <c r="D21" s="13" t="inlineStr">
        <is>
          <t>Formatting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Checklist in note</t>
        </is>
      </c>
      <c r="C22" s="12" t="inlineStr">
        <is>
          <t>Checklist btn</t>
        </is>
      </c>
      <c r="D22" s="13" t="inlineStr">
        <is>
          <t>Interactive checkbox list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Code block in note</t>
        </is>
      </c>
      <c r="C23" s="12" t="inlineStr">
        <is>
          <t>Code btn</t>
        </is>
      </c>
      <c r="D23" s="13" t="inlineStr">
        <is>
          <t>Code block rendered</t>
        </is>
      </c>
      <c r="E23" s="14" t="inlineStr">
        <is>
          <t>Not tested</t>
        </is>
      </c>
      <c r="F23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6db"/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Upload file</t>
        </is>
      </c>
      <c r="C2" s="12" t="inlineStr">
        <is>
          <t>Click Upload / drag-drop</t>
        </is>
      </c>
      <c r="D2" s="13" t="inlineStr">
        <is>
          <t>File appears in Drive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Create folder</t>
        </is>
      </c>
      <c r="C3" s="12" t="inlineStr">
        <is>
          <t>New &gt; Folder</t>
        </is>
      </c>
      <c r="D3" s="13" t="inlineStr">
        <is>
          <t>Folder created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Download file</t>
        </is>
      </c>
      <c r="C4" s="12" t="inlineStr">
        <is>
          <t>Download btn on file</t>
        </is>
      </c>
      <c r="D4" s="13" t="inlineStr">
        <is>
          <t>File downloads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Delete file</t>
        </is>
      </c>
      <c r="C5" s="12" t="inlineStr">
        <is>
          <t>Delete btn</t>
        </is>
      </c>
      <c r="D5" s="13" t="inlineStr">
        <is>
          <t>File moved to trash or deleted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Grid / list view toggle</t>
        </is>
      </c>
      <c r="C6" s="12" t="inlineStr">
        <is>
          <t>Toggle btn</t>
        </is>
      </c>
      <c r="D6" s="13" t="inlineStr">
        <is>
          <t>View switches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files</t>
        </is>
      </c>
      <c r="C7" s="12" t="inlineStr">
        <is>
          <t>Search bar</t>
        </is>
      </c>
      <c r="D7" s="13" t="inlineStr">
        <is>
          <t>Files filtered by name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Star/unstar file</t>
        </is>
      </c>
      <c r="C8" s="12" t="inlineStr">
        <is>
          <t>Star icon</t>
        </is>
      </c>
      <c r="D8" s="13" t="inlineStr">
        <is>
          <t>File starred; Starred filter shows it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Multi-select files</t>
        </is>
      </c>
      <c r="C9" s="12" t="inlineStr">
        <is>
          <t>Checkbox or Ctrl+click</t>
        </is>
      </c>
      <c r="D9" s="13" t="inlineStr">
        <is>
          <t>Bulk action bar appears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Bulk delete</t>
        </is>
      </c>
      <c r="C10" s="12" t="inlineStr">
        <is>
          <t>Select multiple, Delete</t>
        </is>
      </c>
      <c r="D10" s="13" t="inlineStr">
        <is>
          <t>All deleted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Move file (drag-drop)</t>
        </is>
      </c>
      <c r="C11" s="12" t="inlineStr">
        <is>
          <t>Drag file to folder</t>
        </is>
      </c>
      <c r="D11" s="13" t="inlineStr">
        <is>
          <t>File moved into folder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Breadcrumb navigation</t>
        </is>
      </c>
      <c r="C12" s="12" t="inlineStr">
        <is>
          <t>Click folder in breadcrumb</t>
        </is>
      </c>
      <c r="D12" s="13" t="inlineStr">
        <is>
          <t>Navigate up the tree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Storage meter</t>
        </is>
      </c>
      <c r="C13" s="12" t="inlineStr">
        <is>
          <t>Check left sidebar</t>
        </is>
      </c>
      <c r="D13" s="13" t="inlineStr">
        <is>
          <t>Storage usage shown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Shared with me filter</t>
        </is>
      </c>
      <c r="C14" s="12" t="inlineStr">
        <is>
          <t>Shared filter</t>
        </is>
      </c>
      <c r="D14" s="13" t="inlineStr">
        <is>
          <t>Only shared files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Trash filter</t>
        </is>
      </c>
      <c r="C15" s="12" t="inlineStr">
        <is>
          <t>Trash folder</t>
        </is>
      </c>
      <c r="D15" s="13" t="inlineStr">
        <is>
          <t>Deleted files shown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Drive in Apps launcher</t>
        </is>
      </c>
      <c r="C16" s="12" t="inlineStr">
        <is>
          <t>Apps page &gt; Drive tile</t>
        </is>
      </c>
      <c r="D16" s="13" t="inlineStr">
        <is>
          <t>Navigates to /drive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Code file upload (.ts/.py)</t>
        </is>
      </c>
      <c r="C17" s="12" t="inlineStr">
        <is>
          <t>Upload a .ts file</t>
        </is>
      </c>
      <c r="D17" s="13" t="inlineStr">
        <is>
          <t>File accepted (not blocked)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Search filters</t>
        </is>
      </c>
      <c r="C18" s="12" t="inlineStr">
        <is>
          <t>Type + file type filter</t>
        </is>
      </c>
      <c r="D18" s="13" t="inlineStr">
        <is>
          <t>Results narrowed</t>
        </is>
      </c>
      <c r="E18" s="14" t="inlineStr">
        <is>
          <t>Not tested</t>
        </is>
      </c>
      <c r="F18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56db"/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Sidebar nav — all items</t>
        </is>
      </c>
      <c r="C2" s="12" t="inlineStr">
        <is>
          <t>Click each nav item</t>
        </is>
      </c>
      <c r="D2" s="13" t="inlineStr">
        <is>
          <t>Each page loads without 403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Full-screen editor (Sheets)</t>
        </is>
      </c>
      <c r="C3" s="12" t="inlineStr">
        <is>
          <t>Open a Sheet</t>
        </is>
      </c>
      <c r="D3" s="13" t="inlineStr">
        <is>
          <t>No portal sidebar shown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Full-screen editor (Slides)</t>
        </is>
      </c>
      <c r="C4" s="12" t="inlineStr">
        <is>
          <t>Open a Slide deck</t>
        </is>
      </c>
      <c r="D4" s="13" t="inlineStr">
        <is>
          <t>No portal sidebar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Full-screen editor (Docs)</t>
        </is>
      </c>
      <c r="C5" s="12" t="inlineStr">
        <is>
          <t>Open a Doc</t>
        </is>
      </c>
      <c r="D5" s="13" t="inlineStr">
        <is>
          <t>No portal sidebar shown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Back to Apps from Sheets list</t>
        </is>
      </c>
      <c r="C6" s="12" t="inlineStr">
        <is>
          <t>/apps/sheets — Back btn</t>
        </is>
      </c>
      <c r="D6" s="13" t="inlineStr">
        <is>
          <t>Returns to /apps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Back to Apps from Slides list</t>
        </is>
      </c>
      <c r="C7" s="12" t="inlineStr">
        <is>
          <t>/apps/slides — Back btn</t>
        </is>
      </c>
      <c r="D7" s="13" t="inlineStr">
        <is>
          <t>Returns to /apps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Back btn inside Sheet editor</t>
        </is>
      </c>
      <c r="C8" s="12" t="inlineStr">
        <is>
          <t>← btn in title bar</t>
        </is>
      </c>
      <c r="D8" s="13" t="inlineStr">
        <is>
          <t>Returns to /apps/sheets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Back btn inside Slides editor</t>
        </is>
      </c>
      <c r="C9" s="12" t="inlineStr">
        <is>
          <t>← btn in title bar</t>
        </is>
      </c>
      <c r="D9" s="13" t="inlineStr">
        <is>
          <t>Returns to /apps/slides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Back btn in Docs sidebar</t>
        </is>
      </c>
      <c r="C10" s="12" t="inlineStr">
        <is>
          <t>← All Docs link</t>
        </is>
      </c>
      <c r="D10" s="13" t="inlineStr">
        <is>
          <t>Returns to /apps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Role-based access</t>
        </is>
      </c>
      <c r="C11" s="12" t="inlineStr">
        <is>
          <t>Login as different roles</t>
        </is>
      </c>
      <c r="D11" s="13" t="inlineStr">
        <is>
          <t>Correct nav items shown per role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404 / 403 handling</t>
        </is>
      </c>
      <c r="C12" s="12" t="inlineStr">
        <is>
          <t>Visit unknown path</t>
        </is>
      </c>
      <c r="D12" s="13" t="inlineStr">
        <is>
          <t>Appropriate error page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Login redirect</t>
        </is>
      </c>
      <c r="C13" s="12" t="inlineStr">
        <is>
          <t>Visit /inbox unauthenticated</t>
        </is>
      </c>
      <c r="D13" s="13" t="inlineStr">
        <is>
          <t>Redirected to /login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MFA challenge</t>
        </is>
      </c>
      <c r="C14" s="12" t="inlineStr">
        <is>
          <t>Enable MFA, login</t>
        </is>
      </c>
      <c r="D14" s="13" t="inlineStr">
        <is>
          <t>MFA code prompt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Light theme consistency</t>
        </is>
      </c>
      <c r="C15" s="12" t="inlineStr">
        <is>
          <t>Browse all pages</t>
        </is>
      </c>
      <c r="D15" s="13" t="inlineStr">
        <is>
          <t>No dark backgrounds, all white/grey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Mobile responsive</t>
        </is>
      </c>
      <c r="C16" s="12" t="inlineStr">
        <is>
          <t>Resize to 375px</t>
        </is>
      </c>
      <c r="D16" s="13" t="inlineStr">
        <is>
          <t>Layout adapts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Apps page — all tiles</t>
        </is>
      </c>
      <c r="C17" s="12" t="inlineStr">
        <is>
          <t>Visit /apps</t>
        </is>
      </c>
      <c r="D17" s="13" t="inlineStr">
        <is>
          <t>All app tiles render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Notifications hub</t>
        </is>
      </c>
      <c r="C18" s="12" t="inlineStr">
        <is>
          <t>/notifications</t>
        </is>
      </c>
      <c r="D18" s="13" t="inlineStr">
        <is>
          <t>Real-time notifications shown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Presence status picker</t>
        </is>
      </c>
      <c r="C19" s="12" t="inlineStr">
        <is>
          <t>Click status in profile</t>
        </is>
      </c>
      <c r="D19" s="13" t="inlineStr">
        <is>
          <t>Status updates to online/away/busy</t>
        </is>
      </c>
      <c r="E19" s="14" t="inlineStr">
        <is>
          <t>Not tested</t>
        </is>
      </c>
      <c r="F19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2026-06-16T00:52:25Z</dcterms:created>
  <dcterms:modified xmlns:dcterms="http://purl.org/dc/terms/" xmlns:xsi="http://www.w3.org/2001/XMLSchema-instance" xsi:type="dcterms:W3CDTF">2026-06-16T01:23:45Z</dcterms:modified>
</cp:coreProperties>
</file>